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ay\Desktop\ENTC\ACA\Semester 4\EN2160 - Electronic Design Realization\Lumon_Bot_PCB\Power_Distribution_Board\"/>
    </mc:Choice>
  </mc:AlternateContent>
  <xr:revisionPtr revIDLastSave="0" documentId="13_ncr:1_{6CC2D26A-171D-41C6-B608-02AFAD5E420F}" xr6:coauthVersionLast="47" xr6:coauthVersionMax="47" xr10:uidLastSave="{00000000-0000-0000-0000-000000000000}"/>
  <bookViews>
    <workbookView xWindow="-120" yWindow="-120" windowWidth="29040" windowHeight="15720" xr2:uid="{300F018F-297D-4989-A7CE-1C57AD1D11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1" i="1"/>
</calcChain>
</file>

<file path=xl/sharedStrings.xml><?xml version="1.0" encoding="utf-8"?>
<sst xmlns="http://schemas.openxmlformats.org/spreadsheetml/2006/main" count="97" uniqueCount="96">
  <si>
    <t>0.022 µF</t>
  </si>
  <si>
    <t>CAP CER 0.022UF 50V C0G/NP0 0805</t>
  </si>
  <si>
    <t>C73</t>
  </si>
  <si>
    <t>C77069</t>
  </si>
  <si>
    <t>0.1 µF</t>
  </si>
  <si>
    <t>CAP CER 0.1UF 50V X7R 0805</t>
  </si>
  <si>
    <t>C21, C31, C33, C43, C53, C61, C63, C83</t>
  </si>
  <si>
    <t>C49678</t>
  </si>
  <si>
    <t>1 kOhms</t>
  </si>
  <si>
    <t>RES 1K OHM 5% 1/4W 0805</t>
  </si>
  <si>
    <t>R33</t>
  </si>
  <si>
    <t>C95781</t>
  </si>
  <si>
    <t>1 µF</t>
  </si>
  <si>
    <t>CAP CER 1UF 16V X7R 0805</t>
  </si>
  <si>
    <t>C41</t>
  </si>
  <si>
    <t>C24123</t>
  </si>
  <si>
    <t>4.7 kOhms</t>
  </si>
  <si>
    <t>RES SMD 4.7K OHM 0.1% 1/8W 0805</t>
  </si>
  <si>
    <t>R83, R93</t>
  </si>
  <si>
    <t>C865532</t>
  </si>
  <si>
    <t>10 kOhms</t>
  </si>
  <si>
    <t>RES 10K OHM 1% 1/8W 0805</t>
  </si>
  <si>
    <t>R11, R43</t>
  </si>
  <si>
    <t>C84376</t>
  </si>
  <si>
    <t>TRIMMER 10K OHM 0.15W J LEAD TOP</t>
  </si>
  <si>
    <t>R53</t>
  </si>
  <si>
    <t>C719176</t>
  </si>
  <si>
    <t>10 µF</t>
  </si>
  <si>
    <t>CAP CER 10UF 10V X7R 0805</t>
  </si>
  <si>
    <t>C11, C42, C93</t>
  </si>
  <si>
    <t>C32635</t>
  </si>
  <si>
    <t>33 Ohms</t>
  </si>
  <si>
    <t>RES 33 OHM 1% 1/2W 0805</t>
  </si>
  <si>
    <t>R21, R31</t>
  </si>
  <si>
    <t>C6234260</t>
  </si>
  <si>
    <t>100 kOhms</t>
  </si>
  <si>
    <t>RES SMD 100K OHM 0.1% 1/8W 0805</t>
  </si>
  <si>
    <t>R103</t>
  </si>
  <si>
    <t>C122537</t>
  </si>
  <si>
    <t>100 µF</t>
  </si>
  <si>
    <t>CAP ALUM 100UF 20% 50V SMD</t>
  </si>
  <si>
    <t>C22, C32</t>
  </si>
  <si>
    <t>C2983550</t>
  </si>
  <si>
    <t>120 mOhms</t>
  </si>
  <si>
    <t>RES 0.12 OHM 1% 1W 1206</t>
  </si>
  <si>
    <t>R63, R73</t>
  </si>
  <si>
    <t>C6356569</t>
  </si>
  <si>
    <t>120 Ohms</t>
  </si>
  <si>
    <t>RES SMD 120 OHM 5% 1/8W 0805</t>
  </si>
  <si>
    <t>R44</t>
  </si>
  <si>
    <t>C410053</t>
  </si>
  <si>
    <t>470 Ohms</t>
  </si>
  <si>
    <t>RES SMD 470 OHM 0.1% 1/4W 0805</t>
  </si>
  <si>
    <t>R22, R41</t>
  </si>
  <si>
    <t>C441978</t>
  </si>
  <si>
    <t>10000 pF</t>
  </si>
  <si>
    <t>CAP CER 10000PF 50V X7R 0805</t>
  </si>
  <si>
    <t>C51</t>
  </si>
  <si>
    <t>C1710</t>
  </si>
  <si>
    <t>B2B-XH-A_(LF)(SN)</t>
  </si>
  <si>
    <t>Connector Header Through Hole 2 position 0.098 (2.50mm)</t>
  </si>
  <si>
    <t>J44, J54</t>
  </si>
  <si>
    <t>C19271386</t>
  </si>
  <si>
    <t>DS02C-254-1L-04BE</t>
  </si>
  <si>
    <t>4 Position, Through Hole, 2.54 mm Pitch, Raised Piano Slide Actuator, Convex Bottom, Long Pin, DIP Switch</t>
  </si>
  <si>
    <t>S11</t>
  </si>
  <si>
    <t>C5123702</t>
  </si>
  <si>
    <t>NUP2105L</t>
  </si>
  <si>
    <t>ESD, SOT-23, 0.1ÂµA, 24V, Unidir</t>
  </si>
  <si>
    <t>D44</t>
  </si>
  <si>
    <t>C14486</t>
  </si>
  <si>
    <t>Green</t>
  </si>
  <si>
    <t>LED GREEN 0805 SMD</t>
  </si>
  <si>
    <t>D11</t>
  </si>
  <si>
    <t>C84260</t>
  </si>
  <si>
    <t>Red</t>
  </si>
  <si>
    <t>LED RED 0805 SMD</t>
  </si>
  <si>
    <t>D22</t>
  </si>
  <si>
    <t>C19171391</t>
  </si>
  <si>
    <t>S4B-XH-A</t>
  </si>
  <si>
    <t>J43</t>
  </si>
  <si>
    <t>C19271397</t>
  </si>
  <si>
    <t>STM32G0B1CBT6</t>
  </si>
  <si>
    <t>U11</t>
  </si>
  <si>
    <t>C2847904</t>
  </si>
  <si>
    <t>TCAN3413DR1</t>
  </si>
  <si>
    <t>U44</t>
  </si>
  <si>
    <t>TL1963A-33DCYR</t>
  </si>
  <si>
    <t>1.5-A, 20-V, low-dropout voltage regulator with reverse current &amp; reverse voltage protection</t>
  </si>
  <si>
    <t>U22</t>
  </si>
  <si>
    <t>C181262</t>
  </si>
  <si>
    <t>TMC2209-LA-T</t>
  </si>
  <si>
    <t>Bipolar Motor Driver Power MOSFET Step/Direction, UART 28-QFN (5x5)</t>
  </si>
  <si>
    <t>U33</t>
  </si>
  <si>
    <t>C2150710</t>
  </si>
  <si>
    <t>C22433320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</si>
</sst>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4E14-F320-4300-84B7-86FC1CCD49CF}">
  <dimension ref="A1:F25"/>
  <sheetViews>
    <sheetView tabSelected="1" workbookViewId="0">
      <selection sqref="A1:F25"/>
    </sheetView>
  </sheetViews>
  <sheetFormatPr defaultRowHeight="15" x14ac:dyDescent="0.25"/>
  <cols>
    <col min="1" max="1" width="17.85546875" bestFit="1" customWidth="1"/>
    <col min="2" max="2" width="97.28515625" bestFit="1" customWidth="1"/>
    <col min="3" max="3" width="34" bestFit="1" customWidth="1"/>
    <col min="4" max="4" width="2" bestFit="1" customWidth="1"/>
    <col min="5" max="5" width="20.85546875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>
        <v>1</v>
      </c>
      <c r="E1" s="2" t="s">
        <v>3</v>
      </c>
      <c r="F1">
        <f>D1*10</f>
        <v>10</v>
      </c>
    </row>
    <row r="2" spans="1:6" x14ac:dyDescent="0.25">
      <c r="A2" s="1" t="s">
        <v>4</v>
      </c>
      <c r="B2" s="2" t="s">
        <v>5</v>
      </c>
      <c r="C2" s="2" t="s">
        <v>6</v>
      </c>
      <c r="D2" s="2">
        <v>8</v>
      </c>
      <c r="E2" s="2" t="s">
        <v>7</v>
      </c>
      <c r="F2">
        <f t="shared" ref="F2:F25" si="0">D2*10</f>
        <v>80</v>
      </c>
    </row>
    <row r="3" spans="1:6" x14ac:dyDescent="0.25">
      <c r="A3" s="1" t="s">
        <v>8</v>
      </c>
      <c r="B3" s="2" t="s">
        <v>9</v>
      </c>
      <c r="C3" s="2" t="s">
        <v>10</v>
      </c>
      <c r="D3" s="2">
        <v>1</v>
      </c>
      <c r="E3" s="2" t="s">
        <v>11</v>
      </c>
      <c r="F3">
        <f t="shared" si="0"/>
        <v>10</v>
      </c>
    </row>
    <row r="4" spans="1:6" x14ac:dyDescent="0.25">
      <c r="A4" s="1" t="s">
        <v>12</v>
      </c>
      <c r="B4" s="2" t="s">
        <v>13</v>
      </c>
      <c r="C4" s="2" t="s">
        <v>14</v>
      </c>
      <c r="D4" s="2">
        <v>1</v>
      </c>
      <c r="E4" s="2" t="s">
        <v>15</v>
      </c>
      <c r="F4">
        <f t="shared" si="0"/>
        <v>10</v>
      </c>
    </row>
    <row r="5" spans="1:6" x14ac:dyDescent="0.25">
      <c r="A5" s="1" t="s">
        <v>16</v>
      </c>
      <c r="B5" s="2" t="s">
        <v>17</v>
      </c>
      <c r="C5" s="2" t="s">
        <v>18</v>
      </c>
      <c r="D5" s="2">
        <v>2</v>
      </c>
      <c r="E5" s="2" t="s">
        <v>19</v>
      </c>
      <c r="F5">
        <f t="shared" si="0"/>
        <v>20</v>
      </c>
    </row>
    <row r="6" spans="1:6" x14ac:dyDescent="0.25">
      <c r="A6" s="1" t="s">
        <v>20</v>
      </c>
      <c r="B6" s="2" t="s">
        <v>21</v>
      </c>
      <c r="C6" s="2" t="s">
        <v>22</v>
      </c>
      <c r="D6" s="2">
        <v>2</v>
      </c>
      <c r="E6" s="2" t="s">
        <v>23</v>
      </c>
      <c r="F6">
        <f t="shared" si="0"/>
        <v>20</v>
      </c>
    </row>
    <row r="7" spans="1:6" x14ac:dyDescent="0.25">
      <c r="A7" s="1" t="s">
        <v>20</v>
      </c>
      <c r="B7" s="2" t="s">
        <v>24</v>
      </c>
      <c r="C7" s="2" t="s">
        <v>25</v>
      </c>
      <c r="D7" s="2">
        <v>1</v>
      </c>
      <c r="E7" s="2" t="s">
        <v>26</v>
      </c>
      <c r="F7">
        <f t="shared" si="0"/>
        <v>10</v>
      </c>
    </row>
    <row r="8" spans="1:6" x14ac:dyDescent="0.25">
      <c r="A8" s="1" t="s">
        <v>27</v>
      </c>
      <c r="B8" s="2" t="s">
        <v>28</v>
      </c>
      <c r="C8" s="2" t="s">
        <v>29</v>
      </c>
      <c r="D8" s="2">
        <v>3</v>
      </c>
      <c r="E8" s="2" t="s">
        <v>30</v>
      </c>
      <c r="F8">
        <f t="shared" si="0"/>
        <v>30</v>
      </c>
    </row>
    <row r="9" spans="1:6" x14ac:dyDescent="0.25">
      <c r="A9" s="1" t="s">
        <v>31</v>
      </c>
      <c r="B9" s="2" t="s">
        <v>32</v>
      </c>
      <c r="C9" s="2" t="s">
        <v>33</v>
      </c>
      <c r="D9" s="2">
        <v>2</v>
      </c>
      <c r="E9" s="2" t="s">
        <v>34</v>
      </c>
      <c r="F9">
        <f t="shared" si="0"/>
        <v>20</v>
      </c>
    </row>
    <row r="10" spans="1:6" x14ac:dyDescent="0.25">
      <c r="A10" s="1" t="s">
        <v>35</v>
      </c>
      <c r="B10" s="2" t="s">
        <v>36</v>
      </c>
      <c r="C10" s="2" t="s">
        <v>37</v>
      </c>
      <c r="D10" s="2">
        <v>1</v>
      </c>
      <c r="E10" s="2" t="s">
        <v>38</v>
      </c>
      <c r="F10">
        <f t="shared" si="0"/>
        <v>10</v>
      </c>
    </row>
    <row r="11" spans="1:6" x14ac:dyDescent="0.25">
      <c r="A11" s="1" t="s">
        <v>39</v>
      </c>
      <c r="B11" s="2" t="s">
        <v>40</v>
      </c>
      <c r="C11" s="2" t="s">
        <v>41</v>
      </c>
      <c r="D11" s="2">
        <v>2</v>
      </c>
      <c r="E11" s="2" t="s">
        <v>42</v>
      </c>
      <c r="F11">
        <f t="shared" si="0"/>
        <v>20</v>
      </c>
    </row>
    <row r="12" spans="1:6" x14ac:dyDescent="0.25">
      <c r="A12" s="1" t="s">
        <v>43</v>
      </c>
      <c r="B12" s="2" t="s">
        <v>44</v>
      </c>
      <c r="C12" s="2" t="s">
        <v>45</v>
      </c>
      <c r="D12" s="2">
        <v>2</v>
      </c>
      <c r="E12" s="2" t="s">
        <v>46</v>
      </c>
      <c r="F12">
        <f t="shared" si="0"/>
        <v>20</v>
      </c>
    </row>
    <row r="13" spans="1:6" x14ac:dyDescent="0.25">
      <c r="A13" s="1" t="s">
        <v>47</v>
      </c>
      <c r="B13" s="2" t="s">
        <v>48</v>
      </c>
      <c r="C13" s="2" t="s">
        <v>49</v>
      </c>
      <c r="D13" s="2">
        <v>1</v>
      </c>
      <c r="E13" s="2" t="s">
        <v>50</v>
      </c>
      <c r="F13">
        <f t="shared" si="0"/>
        <v>10</v>
      </c>
    </row>
    <row r="14" spans="1:6" x14ac:dyDescent="0.25">
      <c r="A14" s="1" t="s">
        <v>51</v>
      </c>
      <c r="B14" s="2" t="s">
        <v>52</v>
      </c>
      <c r="C14" s="2" t="s">
        <v>53</v>
      </c>
      <c r="D14" s="2">
        <v>2</v>
      </c>
      <c r="E14" s="2" t="s">
        <v>54</v>
      </c>
      <c r="F14">
        <f t="shared" si="0"/>
        <v>20</v>
      </c>
    </row>
    <row r="15" spans="1:6" x14ac:dyDescent="0.25">
      <c r="A15" s="1" t="s">
        <v>55</v>
      </c>
      <c r="B15" s="2" t="s">
        <v>56</v>
      </c>
      <c r="C15" s="2" t="s">
        <v>57</v>
      </c>
      <c r="D15" s="2">
        <v>1</v>
      </c>
      <c r="E15" s="2" t="s">
        <v>58</v>
      </c>
      <c r="F15">
        <f t="shared" si="0"/>
        <v>10</v>
      </c>
    </row>
    <row r="16" spans="1:6" x14ac:dyDescent="0.25">
      <c r="A16" s="1" t="s">
        <v>59</v>
      </c>
      <c r="B16" s="2" t="s">
        <v>60</v>
      </c>
      <c r="C16" s="2" t="s">
        <v>61</v>
      </c>
      <c r="D16" s="2">
        <v>2</v>
      </c>
      <c r="E16" s="2" t="s">
        <v>62</v>
      </c>
      <c r="F16">
        <f t="shared" si="0"/>
        <v>20</v>
      </c>
    </row>
    <row r="17" spans="1:6" x14ac:dyDescent="0.25">
      <c r="A17" s="1" t="s">
        <v>63</v>
      </c>
      <c r="B17" s="2" t="s">
        <v>64</v>
      </c>
      <c r="C17" s="2" t="s">
        <v>65</v>
      </c>
      <c r="D17" s="2">
        <v>1</v>
      </c>
      <c r="E17" s="2" t="s">
        <v>66</v>
      </c>
      <c r="F17">
        <f t="shared" si="0"/>
        <v>10</v>
      </c>
    </row>
    <row r="18" spans="1:6" x14ac:dyDescent="0.25">
      <c r="A18" s="1" t="s">
        <v>67</v>
      </c>
      <c r="B18" s="2" t="s">
        <v>68</v>
      </c>
      <c r="C18" s="2" t="s">
        <v>69</v>
      </c>
      <c r="D18" s="2">
        <v>1</v>
      </c>
      <c r="E18" s="2" t="s">
        <v>70</v>
      </c>
      <c r="F18">
        <f t="shared" si="0"/>
        <v>10</v>
      </c>
    </row>
    <row r="19" spans="1:6" x14ac:dyDescent="0.25">
      <c r="A19" s="2" t="s">
        <v>71</v>
      </c>
      <c r="B19" s="2" t="s">
        <v>72</v>
      </c>
      <c r="C19" s="2" t="s">
        <v>73</v>
      </c>
      <c r="D19" s="2">
        <v>1</v>
      </c>
      <c r="E19" s="2" t="s">
        <v>74</v>
      </c>
      <c r="F19">
        <f t="shared" si="0"/>
        <v>10</v>
      </c>
    </row>
    <row r="20" spans="1:6" x14ac:dyDescent="0.25">
      <c r="A20" s="1" t="s">
        <v>75</v>
      </c>
      <c r="B20" s="2" t="s">
        <v>76</v>
      </c>
      <c r="C20" s="2" t="s">
        <v>77</v>
      </c>
      <c r="D20" s="2">
        <v>1</v>
      </c>
      <c r="E20" s="2" t="s">
        <v>78</v>
      </c>
      <c r="F20">
        <f t="shared" si="0"/>
        <v>10</v>
      </c>
    </row>
    <row r="21" spans="1:6" x14ac:dyDescent="0.25">
      <c r="A21" s="1" t="s">
        <v>79</v>
      </c>
      <c r="B21" s="2"/>
      <c r="C21" s="2" t="s">
        <v>80</v>
      </c>
      <c r="D21" s="2">
        <v>1</v>
      </c>
      <c r="E21" s="2" t="s">
        <v>81</v>
      </c>
      <c r="F21">
        <f t="shared" si="0"/>
        <v>10</v>
      </c>
    </row>
    <row r="22" spans="1:6" x14ac:dyDescent="0.25">
      <c r="A22" s="1" t="s">
        <v>82</v>
      </c>
      <c r="B22" s="2"/>
      <c r="C22" s="2" t="s">
        <v>83</v>
      </c>
      <c r="D22" s="2">
        <v>1</v>
      </c>
      <c r="E22" s="2" t="s">
        <v>84</v>
      </c>
      <c r="F22">
        <f t="shared" si="0"/>
        <v>10</v>
      </c>
    </row>
    <row r="23" spans="1:6" x14ac:dyDescent="0.25">
      <c r="A23" s="1" t="s">
        <v>85</v>
      </c>
      <c r="B23" s="2"/>
      <c r="C23" s="2" t="s">
        <v>86</v>
      </c>
      <c r="D23" s="2">
        <v>1</v>
      </c>
      <c r="E23" s="2" t="s">
        <v>95</v>
      </c>
      <c r="F23">
        <f t="shared" si="0"/>
        <v>10</v>
      </c>
    </row>
    <row r="24" spans="1:6" x14ac:dyDescent="0.25">
      <c r="A24" s="1" t="s">
        <v>87</v>
      </c>
      <c r="B24" s="2" t="s">
        <v>88</v>
      </c>
      <c r="C24" s="2" t="s">
        <v>89</v>
      </c>
      <c r="D24" s="2">
        <v>1</v>
      </c>
      <c r="E24" s="2" t="s">
        <v>90</v>
      </c>
      <c r="F24">
        <f t="shared" si="0"/>
        <v>10</v>
      </c>
    </row>
    <row r="25" spans="1:6" x14ac:dyDescent="0.25">
      <c r="A25" s="1" t="s">
        <v>91</v>
      </c>
      <c r="B25" s="2" t="s">
        <v>92</v>
      </c>
      <c r="C25" s="2" t="s">
        <v>93</v>
      </c>
      <c r="D25" s="2">
        <v>1</v>
      </c>
      <c r="E25" s="2" t="s">
        <v>94</v>
      </c>
      <c r="F25">
        <f t="shared" si="0"/>
        <v>10</v>
      </c>
    </row>
  </sheetData>
  <conditionalFormatting sqref="E3">
    <cfRule type="duplicateValues" dxfId="2" priority="2"/>
  </conditionalFormatting>
  <conditionalFormatting sqref="E19">
    <cfRule type="duplicateValues" dxfId="1" priority="1"/>
  </conditionalFormatting>
  <conditionalFormatting sqref="E20:E25 E4:E18 E1:E2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Minaya Fernando</dc:creator>
  <cp:lastModifiedBy>Minaya Fernando</cp:lastModifiedBy>
  <dcterms:created xsi:type="dcterms:W3CDTF">2026-04-28T20:25:32Z</dcterms:created>
  <dcterms:modified xsi:type="dcterms:W3CDTF">2026-04-28T22:16:05Z</dcterms:modified>
</cp:coreProperties>
</file>