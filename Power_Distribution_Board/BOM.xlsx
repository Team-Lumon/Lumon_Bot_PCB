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nay\Desktop\ENTC\ACA\Semester 4\EN2160 - Electronic Design Realization\Lumon_Bot_PCB\Power_Distribution_Board\"/>
    </mc:Choice>
  </mc:AlternateContent>
  <xr:revisionPtr revIDLastSave="0" documentId="13_ncr:1_{8C2F083D-27F5-43C4-B5EE-6BD4EDCBD3D1}" xr6:coauthVersionLast="47" xr6:coauthVersionMax="47" xr10:uidLastSave="{00000000-0000-0000-0000-000000000000}"/>
  <bookViews>
    <workbookView xWindow="-120" yWindow="-120" windowWidth="29040" windowHeight="15720" xr2:uid="{14245D63-114D-46DE-8676-AC0DA9ACF3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9" i="1" l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" i="1"/>
</calcChain>
</file>

<file path=xl/sharedStrings.xml><?xml version="1.0" encoding="utf-8"?>
<sst xmlns="http://schemas.openxmlformats.org/spreadsheetml/2006/main" count="188" uniqueCount="107">
  <si>
    <t xml:space="preserve"> 2200uF cap New</t>
  </si>
  <si>
    <t>Radial Can ALUMINUM ELECTROLYTIC CAPACITOR 148RUS 50V 2200muF ±20% 0.630Dia 16.00mm</t>
  </si>
  <si>
    <t>C1</t>
  </si>
  <si>
    <t>C1601121</t>
  </si>
  <si>
    <t>1uF 50V THT</t>
  </si>
  <si>
    <t>1uF 50V ±20% Plugin, D5xL11mm Aluminum Electrolytic Capacitors - Leaded ROHS</t>
  </si>
  <si>
    <t>C2, C3</t>
  </si>
  <si>
    <t>C2927584</t>
  </si>
  <si>
    <t>0.1uF X7R 0402</t>
  </si>
  <si>
    <t>50V 100nF X7R ±10% 0402 Multilayer Ceramic Capacitors MLCC - SMD/SMT ROHS</t>
  </si>
  <si>
    <t>C4</t>
  </si>
  <si>
    <t>C2649549</t>
  </si>
  <si>
    <t>100nF X7R 1210 50V</t>
  </si>
  <si>
    <t>50V 100nF X7R ±10% 1210 Multilayer Ceramic Capacitors MLCC - SMD/SMT ROHS</t>
  </si>
  <si>
    <t>C5, C7</t>
  </si>
  <si>
    <t>C412504</t>
  </si>
  <si>
    <t>4.7nF X7R 0402 50V</t>
  </si>
  <si>
    <t>Multilayer Ceramic Capacitors MLCC - SMD/SMT 50V 4700pF X7R 0402 5%</t>
  </si>
  <si>
    <t>C6, C8</t>
  </si>
  <si>
    <t>C6117713</t>
  </si>
  <si>
    <t>22uF X7R 1210</t>
  </si>
  <si>
    <t>16V 22uF X7R 卤20% 1210 Multilayer Ceramic Capacitors MLCC - SMD/SMT ROHS</t>
  </si>
  <si>
    <t>C9, C10, C11, C12</t>
  </si>
  <si>
    <t>C2980161</t>
  </si>
  <si>
    <t>1uF 16V 0402</t>
  </si>
  <si>
    <t>16V 1uF X5R 卤10% 0402 Multilayer Ceramic Capacitors MLCC - SMD/SMT ROHS</t>
  </si>
  <si>
    <t>C13</t>
  </si>
  <si>
    <t>C29266</t>
  </si>
  <si>
    <t>10V Zener Diode</t>
  </si>
  <si>
    <t>Zener Diode Independent 10V 5W Surface Mount SMB(DO-214AA</t>
  </si>
  <si>
    <t>D1</t>
  </si>
  <si>
    <t>C151743</t>
  </si>
  <si>
    <t>27V Zener Diode</t>
  </si>
  <si>
    <t>Zener Diode, 27V, 5W, Do-214Aa Rohs Compliant: Yes |Micro Commercial Components SMBJ5361B-TP</t>
  </si>
  <si>
    <t>D2</t>
  </si>
  <si>
    <t>C3730541</t>
  </si>
  <si>
    <t>Thyristor</t>
  </si>
  <si>
    <t>SCR 600 V 40 A Standard Recovery Through Hole TO-220</t>
  </si>
  <si>
    <t>D3</t>
  </si>
  <si>
    <t>C5269098</t>
  </si>
  <si>
    <t>0805 RED LED</t>
  </si>
  <si>
    <t>Led; Red; 11MCD; 0.061IN.DIA.; SMD; 100MA; 2V Vf; 635NM; 140DEG; SMD; White Diffused; 5V Vr</t>
  </si>
  <si>
    <t>D4, D11</t>
  </si>
  <si>
    <t>C19171391</t>
  </si>
  <si>
    <t>27V TVS Diode</t>
  </si>
  <si>
    <t>600 Watt SUR40 Transient Voltage Suppressor, 27 V, Unidirectional</t>
  </si>
  <si>
    <t>D5</t>
  </si>
  <si>
    <t>C3707914</t>
  </si>
  <si>
    <t>GREEN LED</t>
  </si>
  <si>
    <t>Round with Domed Top HLMP-4740 SINGLE COLOR LED Green LED Indication Discrete 6.1mm 5V 2mA 2.3mcd</t>
  </si>
  <si>
    <t>D6, D7, D8, D9, D10</t>
  </si>
  <si>
    <t>C7466713</t>
  </si>
  <si>
    <t>0287030.PXCN</t>
  </si>
  <si>
    <t>FUSE AUTOMOTIVE 30A 32VDC BLADE</t>
  </si>
  <si>
    <t>F1, F3</t>
  </si>
  <si>
    <t>C142686</t>
  </si>
  <si>
    <t>Fuse Holder</t>
  </si>
  <si>
    <t>Holder; Fuse; Auto Blade; Mini; 500VAC; 30A; PC Pin Terminal; Nylon 4/6 Holder; Black</t>
  </si>
  <si>
    <t>F2, F4, F8, F9, F10, F16, F17</t>
  </si>
  <si>
    <t>C5249699</t>
  </si>
  <si>
    <t>5A Fuse</t>
  </si>
  <si>
    <t>Fuse Blade 5A 32V Socket 10.9 X 3.8 X 8.8mm Polyamide 66 Automotive UL</t>
  </si>
  <si>
    <t>F5, F6, F7, F14, F15</t>
  </si>
  <si>
    <t>C151093</t>
  </si>
  <si>
    <t>1.25 Fuse 1206</t>
  </si>
  <si>
    <t>Fuse 63V Fa Halogen Free Slim 1206 1.25A/ T&amp;r Rohs Compliant: Yes |Littelfuse 04661.25NRHF</t>
  </si>
  <si>
    <t>F11, F12, F13, F18, F19, F20, F21</t>
  </si>
  <si>
    <t>C187601</t>
  </si>
  <si>
    <t>SMPS_IN_1</t>
  </si>
  <si>
    <t>5.08mm Pitch Eurostyle Vertical Fixed Mount PCB Terminal Block, 6 Circuits</t>
  </si>
  <si>
    <t>J1</t>
  </si>
  <si>
    <t>8.2uH 6.25A 20mOhm</t>
  </si>
  <si>
    <t>Power Inductor, SMT, 1260, 8.2 Uh, 6.25 A, .02 Ohm, Fixed, We-pd Series</t>
  </si>
  <si>
    <t>L1</t>
  </si>
  <si>
    <t>C504027</t>
  </si>
  <si>
    <t>0.3ohm Thermister</t>
  </si>
  <si>
    <t>NTC Thermistor, 0.3ohm, Through Hole Mount</t>
  </si>
  <si>
    <t>R1</t>
  </si>
  <si>
    <t>C3761746</t>
  </si>
  <si>
    <t>10K 0805 1/8W</t>
  </si>
  <si>
    <t>Res General Purpose Thick Film 0805 10k Ohm 1% 1/8W ±100ppm/°C Ceramic Paper T/R</t>
  </si>
  <si>
    <t>R2, R3</t>
  </si>
  <si>
    <t>C84376</t>
  </si>
  <si>
    <t>1k 1/8W Res</t>
  </si>
  <si>
    <t>1kΩ 125mW 150V Thick Film Resistor ±100ppm/℃ ±1% 0805 Chip Resistor - Surface Mount RoHS</t>
  </si>
  <si>
    <t>R4, R5, R6, R7, R8, R9, R13</t>
  </si>
  <si>
    <t>C95781</t>
  </si>
  <si>
    <t>100k 0402 Res</t>
  </si>
  <si>
    <t>62.5mW Thick Film Resistors 50V ±100ppm/℃ ±1% 100kΩ 0402 Chip Resistor - Surface Mount ROHS</t>
  </si>
  <si>
    <t>R10, R12</t>
  </si>
  <si>
    <t>C60491</t>
  </si>
  <si>
    <t>24.9K 0402 res</t>
  </si>
  <si>
    <t>Res Thick Film 0402 24.9K Ohm 1% 0.063W(1/16W) ±100ppm/C Pad SMD T/R</t>
  </si>
  <si>
    <t>R11</t>
  </si>
  <si>
    <t>C138027</t>
  </si>
  <si>
    <t>P Channel Mosfet</t>
  </si>
  <si>
    <t>Transistor MOSFET P-CH 60V 90A 3-Pin (3+Tab) TO-220AB</t>
  </si>
  <si>
    <t>T1</t>
  </si>
  <si>
    <t>C913431</t>
  </si>
  <si>
    <t>24V-5V Buck</t>
  </si>
  <si>
    <t>IC REG BUCK ADJUSTABLE 3A 12VQFN / Buck Switching Regulator IC Positive Adjustable 1V 1 Output 3A 12-VFQFN</t>
  </si>
  <si>
    <t>U1</t>
  </si>
  <si>
    <t>C2071384</t>
  </si>
  <si>
    <t xml:space="preserve"> C601241</t>
  </si>
  <si>
    <t>C25836747</t>
  </si>
  <si>
    <t>C5456157</t>
  </si>
  <si>
    <t>C2861505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</si>
</sst>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0" xfId="1"/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C5456157.html?s_z=s_c_TVS%2520Diodes&amp;spm=wm.fly.bg.2.cbh&amp;lcsc_vid=FgRZBQcDT1IKUABSR1QLVVIARVQIVlMFRlULXgACTlMxVlNRQFVfV1NRRFdbVjsOAxUeFF5JWBYZEEoKFBINSQcJGk4dAgUUFAk%3D" TargetMode="External"/><Relationship Id="rId2" Type="http://schemas.openxmlformats.org/officeDocument/2006/relationships/hyperlink" Target="https://www.lcsc.com/product-detail/C25836747.html?s_z=n_q_5W%252027V%2520zener&amp;spm=wm.ssy.bg.4.cbh&amp;lcsc_vid=FgRZBQcDT1IKUABSR1QLVVIARVQIVlMFRlULXgACTlMxVlNRQFVfV1JXQlBbVDsOAxUeFF5JWBYZEEoKFBINSQcJGk4dAgUUFAk%3D" TargetMode="External"/><Relationship Id="rId1" Type="http://schemas.openxmlformats.org/officeDocument/2006/relationships/hyperlink" Target="https://www.lcsc.com/product-detail/C2861505.html?s_z=n_q_LMR33630&amp;spm=wm.ssy.bg.7.cbh&amp;lcsc_vid=FgRZBQcDT1IKUABSR1QLVVIARVQIVlMFRlULXgACTlMxVlNRQFVfV1VSRlJcUjsOAxUeFF5JWBYZEEoKFBINSQcJGk4dAgUUFAk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6C222-F5C5-43FF-9F70-DAECAEB6E38B}">
  <dimension ref="A1:G49"/>
  <sheetViews>
    <sheetView tabSelected="1" workbookViewId="0">
      <selection activeCell="A16" sqref="A16:XFD16"/>
    </sheetView>
  </sheetViews>
  <sheetFormatPr defaultRowHeight="15" x14ac:dyDescent="0.25"/>
  <cols>
    <col min="2" max="2" width="20" bestFit="1" customWidth="1"/>
    <col min="3" max="3" width="102.85546875" bestFit="1" customWidth="1"/>
    <col min="4" max="4" width="28.5703125" bestFit="1" customWidth="1"/>
    <col min="5" max="5" width="2" bestFit="1" customWidth="1"/>
    <col min="6" max="6" width="10.140625" bestFit="1" customWidth="1"/>
    <col min="7" max="7" width="22.140625" customWidth="1"/>
  </cols>
  <sheetData>
    <row r="1" spans="1:7" x14ac:dyDescent="0.25">
      <c r="A1" s="1"/>
      <c r="B1" s="2" t="s">
        <v>0</v>
      </c>
      <c r="C1" s="1" t="s">
        <v>1</v>
      </c>
      <c r="D1" s="1" t="s">
        <v>2</v>
      </c>
      <c r="E1" s="1">
        <v>1</v>
      </c>
      <c r="F1" s="1" t="s">
        <v>3</v>
      </c>
      <c r="G1" s="1">
        <f>E1*3</f>
        <v>3</v>
      </c>
    </row>
    <row r="2" spans="1:7" x14ac:dyDescent="0.25">
      <c r="A2" s="1"/>
      <c r="B2" s="2" t="s">
        <v>4</v>
      </c>
      <c r="C2" s="1" t="s">
        <v>5</v>
      </c>
      <c r="D2" s="1" t="s">
        <v>6</v>
      </c>
      <c r="E2" s="1">
        <v>2</v>
      </c>
      <c r="F2" s="1" t="s">
        <v>7</v>
      </c>
      <c r="G2" s="1">
        <f t="shared" ref="G2:G21" si="0">E2*3</f>
        <v>6</v>
      </c>
    </row>
    <row r="3" spans="1:7" x14ac:dyDescent="0.25">
      <c r="A3" s="1"/>
      <c r="B3" s="2" t="s">
        <v>8</v>
      </c>
      <c r="C3" s="1" t="s">
        <v>9</v>
      </c>
      <c r="D3" s="1" t="s">
        <v>10</v>
      </c>
      <c r="E3" s="1">
        <v>1</v>
      </c>
      <c r="F3" s="1" t="s">
        <v>11</v>
      </c>
      <c r="G3" s="1">
        <f t="shared" si="0"/>
        <v>3</v>
      </c>
    </row>
    <row r="4" spans="1:7" x14ac:dyDescent="0.25">
      <c r="A4" s="1"/>
      <c r="B4" s="2" t="s">
        <v>12</v>
      </c>
      <c r="C4" s="1" t="s">
        <v>13</v>
      </c>
      <c r="D4" s="1" t="s">
        <v>14</v>
      </c>
      <c r="E4" s="1">
        <v>2</v>
      </c>
      <c r="F4" s="1" t="s">
        <v>15</v>
      </c>
      <c r="G4" s="1">
        <f t="shared" si="0"/>
        <v>6</v>
      </c>
    </row>
    <row r="5" spans="1:7" x14ac:dyDescent="0.25">
      <c r="A5" s="1"/>
      <c r="B5" s="2" t="s">
        <v>16</v>
      </c>
      <c r="C5" s="1" t="s">
        <v>17</v>
      </c>
      <c r="D5" s="1" t="s">
        <v>18</v>
      </c>
      <c r="E5" s="1">
        <v>2</v>
      </c>
      <c r="F5" s="1" t="s">
        <v>19</v>
      </c>
      <c r="G5" s="1">
        <f t="shared" si="0"/>
        <v>6</v>
      </c>
    </row>
    <row r="6" spans="1:7" x14ac:dyDescent="0.25">
      <c r="A6" s="1"/>
      <c r="B6" s="2" t="s">
        <v>20</v>
      </c>
      <c r="C6" s="1" t="s">
        <v>21</v>
      </c>
      <c r="D6" s="1" t="s">
        <v>22</v>
      </c>
      <c r="E6" s="1">
        <v>4</v>
      </c>
      <c r="F6" s="1" t="s">
        <v>23</v>
      </c>
      <c r="G6" s="1">
        <f t="shared" si="0"/>
        <v>12</v>
      </c>
    </row>
    <row r="7" spans="1:7" x14ac:dyDescent="0.25">
      <c r="A7" s="1"/>
      <c r="B7" s="2" t="s">
        <v>24</v>
      </c>
      <c r="C7" s="1" t="s">
        <v>25</v>
      </c>
      <c r="D7" s="1" t="s">
        <v>26</v>
      </c>
      <c r="E7" s="1">
        <v>1</v>
      </c>
      <c r="F7" s="1" t="s">
        <v>27</v>
      </c>
      <c r="G7" s="1">
        <f t="shared" si="0"/>
        <v>3</v>
      </c>
    </row>
    <row r="8" spans="1:7" x14ac:dyDescent="0.25">
      <c r="A8" s="1"/>
      <c r="B8" s="2" t="s">
        <v>28</v>
      </c>
      <c r="C8" s="1" t="s">
        <v>29</v>
      </c>
      <c r="D8" s="1" t="s">
        <v>30</v>
      </c>
      <c r="E8" s="1">
        <v>1</v>
      </c>
      <c r="F8" s="1" t="s">
        <v>31</v>
      </c>
      <c r="G8" s="1">
        <f t="shared" si="0"/>
        <v>3</v>
      </c>
    </row>
    <row r="9" spans="1:7" x14ac:dyDescent="0.25">
      <c r="A9" s="1"/>
      <c r="B9" s="2" t="s">
        <v>32</v>
      </c>
      <c r="C9" s="1" t="s">
        <v>33</v>
      </c>
      <c r="D9" s="1" t="s">
        <v>34</v>
      </c>
      <c r="E9" s="1">
        <v>1</v>
      </c>
      <c r="F9" s="1" t="s">
        <v>35</v>
      </c>
      <c r="G9" s="1">
        <f t="shared" si="0"/>
        <v>3</v>
      </c>
    </row>
    <row r="10" spans="1:7" x14ac:dyDescent="0.25">
      <c r="A10" s="1"/>
      <c r="B10" s="2" t="s">
        <v>36</v>
      </c>
      <c r="C10" s="1" t="s">
        <v>37</v>
      </c>
      <c r="D10" s="1" t="s">
        <v>38</v>
      </c>
      <c r="E10" s="1">
        <v>1</v>
      </c>
      <c r="F10" s="1" t="s">
        <v>39</v>
      </c>
      <c r="G10" s="1">
        <f t="shared" si="0"/>
        <v>3</v>
      </c>
    </row>
    <row r="11" spans="1:7" x14ac:dyDescent="0.25">
      <c r="A11" s="1"/>
      <c r="B11" s="2" t="s">
        <v>40</v>
      </c>
      <c r="C11" s="1" t="s">
        <v>41</v>
      </c>
      <c r="D11" s="1" t="s">
        <v>42</v>
      </c>
      <c r="E11" s="1">
        <v>2</v>
      </c>
      <c r="F11" s="1" t="s">
        <v>43</v>
      </c>
      <c r="G11" s="1">
        <f t="shared" si="0"/>
        <v>6</v>
      </c>
    </row>
    <row r="12" spans="1:7" x14ac:dyDescent="0.25">
      <c r="A12" s="1"/>
      <c r="B12" s="2" t="s">
        <v>44</v>
      </c>
      <c r="C12" s="1" t="s">
        <v>45</v>
      </c>
      <c r="D12" s="1" t="s">
        <v>46</v>
      </c>
      <c r="E12" s="1">
        <v>1</v>
      </c>
      <c r="F12" s="1" t="s">
        <v>47</v>
      </c>
      <c r="G12" s="1">
        <f t="shared" si="0"/>
        <v>3</v>
      </c>
    </row>
    <row r="13" spans="1:7" x14ac:dyDescent="0.25">
      <c r="A13" s="1"/>
      <c r="B13" s="2" t="s">
        <v>56</v>
      </c>
      <c r="C13" s="1" t="s">
        <v>57</v>
      </c>
      <c r="D13" s="1" t="s">
        <v>58</v>
      </c>
      <c r="E13" s="1">
        <v>7</v>
      </c>
      <c r="F13" s="1" t="s">
        <v>59</v>
      </c>
      <c r="G13" s="1">
        <f t="shared" si="0"/>
        <v>21</v>
      </c>
    </row>
    <row r="14" spans="1:7" x14ac:dyDescent="0.25">
      <c r="A14" s="1"/>
      <c r="B14" s="2" t="s">
        <v>68</v>
      </c>
      <c r="C14" s="1" t="s">
        <v>69</v>
      </c>
      <c r="D14" s="1" t="s">
        <v>70</v>
      </c>
      <c r="E14" s="1">
        <v>1</v>
      </c>
      <c r="F14" s="1" t="s">
        <v>103</v>
      </c>
      <c r="G14" s="1">
        <f t="shared" si="0"/>
        <v>3</v>
      </c>
    </row>
    <row r="15" spans="1:7" x14ac:dyDescent="0.25">
      <c r="A15" s="1"/>
      <c r="B15" s="2" t="s">
        <v>71</v>
      </c>
      <c r="C15" s="1" t="s">
        <v>72</v>
      </c>
      <c r="D15" s="1" t="s">
        <v>73</v>
      </c>
      <c r="E15" s="1">
        <v>1</v>
      </c>
      <c r="F15" s="1" t="s">
        <v>74</v>
      </c>
      <c r="G15" s="1">
        <f t="shared" si="0"/>
        <v>3</v>
      </c>
    </row>
    <row r="16" spans="1:7" x14ac:dyDescent="0.25">
      <c r="A16" s="1"/>
      <c r="B16" s="2" t="s">
        <v>79</v>
      </c>
      <c r="C16" s="1" t="s">
        <v>80</v>
      </c>
      <c r="D16" s="1" t="s">
        <v>81</v>
      </c>
      <c r="E16" s="1">
        <v>2</v>
      </c>
      <c r="F16" s="1" t="s">
        <v>82</v>
      </c>
      <c r="G16" s="1">
        <f t="shared" si="0"/>
        <v>6</v>
      </c>
    </row>
    <row r="17" spans="1:7" x14ac:dyDescent="0.25">
      <c r="A17" s="1"/>
      <c r="B17" s="2" t="s">
        <v>83</v>
      </c>
      <c r="C17" s="1" t="s">
        <v>84</v>
      </c>
      <c r="D17" s="1" t="s">
        <v>85</v>
      </c>
      <c r="E17" s="1">
        <v>7</v>
      </c>
      <c r="F17" s="1" t="s">
        <v>86</v>
      </c>
      <c r="G17" s="1">
        <f t="shared" si="0"/>
        <v>21</v>
      </c>
    </row>
    <row r="18" spans="1:7" x14ac:dyDescent="0.25">
      <c r="A18" s="1"/>
      <c r="B18" s="2" t="s">
        <v>87</v>
      </c>
      <c r="C18" s="1" t="s">
        <v>88</v>
      </c>
      <c r="D18" s="1" t="s">
        <v>89</v>
      </c>
      <c r="E18" s="1">
        <v>2</v>
      </c>
      <c r="F18" s="1" t="s">
        <v>90</v>
      </c>
      <c r="G18" s="1">
        <f t="shared" si="0"/>
        <v>6</v>
      </c>
    </row>
    <row r="19" spans="1:7" x14ac:dyDescent="0.25">
      <c r="A19" s="1"/>
      <c r="B19" s="2" t="s">
        <v>91</v>
      </c>
      <c r="C19" s="1" t="s">
        <v>92</v>
      </c>
      <c r="D19" s="1" t="s">
        <v>93</v>
      </c>
      <c r="E19" s="1">
        <v>1</v>
      </c>
      <c r="F19" s="1" t="s">
        <v>94</v>
      </c>
      <c r="G19" s="1">
        <f t="shared" si="0"/>
        <v>3</v>
      </c>
    </row>
    <row r="20" spans="1:7" x14ac:dyDescent="0.25">
      <c r="A20" s="1"/>
      <c r="B20" s="2" t="s">
        <v>95</v>
      </c>
      <c r="C20" s="1" t="s">
        <v>96</v>
      </c>
      <c r="D20" s="1" t="s">
        <v>97</v>
      </c>
      <c r="E20" s="1">
        <v>1</v>
      </c>
      <c r="F20" s="1" t="s">
        <v>98</v>
      </c>
      <c r="G20" s="1">
        <f t="shared" si="0"/>
        <v>3</v>
      </c>
    </row>
    <row r="21" spans="1:7" x14ac:dyDescent="0.25">
      <c r="A21" s="1"/>
      <c r="B21" s="2" t="s">
        <v>99</v>
      </c>
      <c r="C21" s="1" t="s">
        <v>100</v>
      </c>
      <c r="D21" s="1" t="s">
        <v>101</v>
      </c>
      <c r="E21" s="1">
        <v>1</v>
      </c>
      <c r="F21" s="1" t="s">
        <v>102</v>
      </c>
      <c r="G21" s="1">
        <f t="shared" si="0"/>
        <v>3</v>
      </c>
    </row>
    <row r="24" spans="1:7" x14ac:dyDescent="0.25">
      <c r="B24" s="2" t="s">
        <v>0</v>
      </c>
      <c r="C24" s="1" t="s">
        <v>1</v>
      </c>
      <c r="D24" s="1" t="s">
        <v>2</v>
      </c>
      <c r="E24" s="1">
        <v>1</v>
      </c>
      <c r="F24" s="1" t="s">
        <v>3</v>
      </c>
      <c r="G24" s="1">
        <f>E24*3</f>
        <v>3</v>
      </c>
    </row>
    <row r="25" spans="1:7" x14ac:dyDescent="0.25">
      <c r="B25" s="2" t="s">
        <v>4</v>
      </c>
      <c r="C25" s="1" t="s">
        <v>5</v>
      </c>
      <c r="D25" s="1" t="s">
        <v>6</v>
      </c>
      <c r="E25" s="1">
        <v>2</v>
      </c>
      <c r="F25" s="1" t="s">
        <v>7</v>
      </c>
      <c r="G25" s="1">
        <f t="shared" ref="G25:G49" si="1">E25*3</f>
        <v>6</v>
      </c>
    </row>
    <row r="26" spans="1:7" x14ac:dyDescent="0.25">
      <c r="B26" s="2" t="s">
        <v>8</v>
      </c>
      <c r="C26" s="1" t="s">
        <v>9</v>
      </c>
      <c r="D26" s="1" t="s">
        <v>10</v>
      </c>
      <c r="E26" s="1">
        <v>1</v>
      </c>
      <c r="F26" s="1" t="s">
        <v>11</v>
      </c>
      <c r="G26" s="1">
        <f t="shared" si="1"/>
        <v>3</v>
      </c>
    </row>
    <row r="27" spans="1:7" x14ac:dyDescent="0.25">
      <c r="B27" s="2" t="s">
        <v>12</v>
      </c>
      <c r="C27" s="1" t="s">
        <v>13</v>
      </c>
      <c r="D27" s="1" t="s">
        <v>14</v>
      </c>
      <c r="E27" s="1">
        <v>2</v>
      </c>
      <c r="F27" s="1" t="s">
        <v>15</v>
      </c>
      <c r="G27" s="1">
        <f t="shared" si="1"/>
        <v>6</v>
      </c>
    </row>
    <row r="28" spans="1:7" x14ac:dyDescent="0.25">
      <c r="B28" s="2" t="s">
        <v>16</v>
      </c>
      <c r="C28" s="1" t="s">
        <v>17</v>
      </c>
      <c r="D28" s="1" t="s">
        <v>18</v>
      </c>
      <c r="E28" s="1">
        <v>2</v>
      </c>
      <c r="F28" s="1" t="s">
        <v>19</v>
      </c>
      <c r="G28" s="1">
        <f t="shared" si="1"/>
        <v>6</v>
      </c>
    </row>
    <row r="29" spans="1:7" x14ac:dyDescent="0.25">
      <c r="B29" s="2" t="s">
        <v>20</v>
      </c>
      <c r="C29" s="1" t="s">
        <v>21</v>
      </c>
      <c r="D29" s="1" t="s">
        <v>22</v>
      </c>
      <c r="E29" s="1">
        <v>4</v>
      </c>
      <c r="F29" s="1" t="s">
        <v>23</v>
      </c>
      <c r="G29" s="1">
        <f t="shared" si="1"/>
        <v>12</v>
      </c>
    </row>
    <row r="30" spans="1:7" x14ac:dyDescent="0.25">
      <c r="B30" s="2" t="s">
        <v>24</v>
      </c>
      <c r="C30" s="1" t="s">
        <v>25</v>
      </c>
      <c r="D30" s="1" t="s">
        <v>26</v>
      </c>
      <c r="E30" s="1">
        <v>1</v>
      </c>
      <c r="F30" s="1" t="s">
        <v>27</v>
      </c>
      <c r="G30" s="1">
        <f t="shared" si="1"/>
        <v>3</v>
      </c>
    </row>
    <row r="31" spans="1:7" x14ac:dyDescent="0.25">
      <c r="B31" s="2" t="s">
        <v>28</v>
      </c>
      <c r="C31" s="1" t="s">
        <v>29</v>
      </c>
      <c r="D31" s="1" t="s">
        <v>30</v>
      </c>
      <c r="E31" s="1">
        <v>1</v>
      </c>
      <c r="F31" s="1" t="s">
        <v>31</v>
      </c>
      <c r="G31" s="1">
        <f t="shared" si="1"/>
        <v>3</v>
      </c>
    </row>
    <row r="32" spans="1:7" x14ac:dyDescent="0.25">
      <c r="B32" s="2" t="s">
        <v>32</v>
      </c>
      <c r="C32" s="1" t="s">
        <v>33</v>
      </c>
      <c r="D32" s="1" t="s">
        <v>34</v>
      </c>
      <c r="E32" s="1">
        <v>1</v>
      </c>
      <c r="F32" s="3" t="s">
        <v>104</v>
      </c>
      <c r="G32" s="1">
        <f t="shared" si="1"/>
        <v>3</v>
      </c>
    </row>
    <row r="33" spans="2:7" x14ac:dyDescent="0.25">
      <c r="B33" s="2" t="s">
        <v>36</v>
      </c>
      <c r="C33" s="1" t="s">
        <v>37</v>
      </c>
      <c r="D33" s="1" t="s">
        <v>38</v>
      </c>
      <c r="E33" s="1">
        <v>1</v>
      </c>
      <c r="F33" s="1" t="s">
        <v>39</v>
      </c>
      <c r="G33" s="1">
        <f t="shared" si="1"/>
        <v>3</v>
      </c>
    </row>
    <row r="34" spans="2:7" x14ac:dyDescent="0.25">
      <c r="B34" s="2" t="s">
        <v>40</v>
      </c>
      <c r="C34" s="1" t="s">
        <v>41</v>
      </c>
      <c r="D34" s="1" t="s">
        <v>42</v>
      </c>
      <c r="E34" s="1">
        <v>2</v>
      </c>
      <c r="F34" s="1" t="s">
        <v>43</v>
      </c>
      <c r="G34" s="1">
        <f t="shared" si="1"/>
        <v>6</v>
      </c>
    </row>
    <row r="35" spans="2:7" x14ac:dyDescent="0.25">
      <c r="B35" s="2" t="s">
        <v>44</v>
      </c>
      <c r="C35" s="1" t="s">
        <v>45</v>
      </c>
      <c r="D35" s="1" t="s">
        <v>46</v>
      </c>
      <c r="E35" s="1">
        <v>1</v>
      </c>
      <c r="F35" s="3" t="s">
        <v>105</v>
      </c>
      <c r="G35" s="1">
        <f t="shared" si="1"/>
        <v>3</v>
      </c>
    </row>
    <row r="36" spans="2:7" x14ac:dyDescent="0.25">
      <c r="B36" s="2" t="s">
        <v>48</v>
      </c>
      <c r="C36" s="1" t="s">
        <v>49</v>
      </c>
      <c r="D36" s="1" t="s">
        <v>50</v>
      </c>
      <c r="E36" s="1">
        <v>5</v>
      </c>
      <c r="F36" s="1" t="s">
        <v>51</v>
      </c>
      <c r="G36" s="1">
        <f t="shared" si="1"/>
        <v>15</v>
      </c>
    </row>
    <row r="37" spans="2:7" x14ac:dyDescent="0.25">
      <c r="B37" s="2" t="s">
        <v>52</v>
      </c>
      <c r="C37" s="1" t="s">
        <v>53</v>
      </c>
      <c r="D37" s="1" t="s">
        <v>54</v>
      </c>
      <c r="E37" s="1">
        <v>2</v>
      </c>
      <c r="F37" s="1" t="s">
        <v>55</v>
      </c>
      <c r="G37" s="1">
        <f t="shared" si="1"/>
        <v>6</v>
      </c>
    </row>
    <row r="38" spans="2:7" x14ac:dyDescent="0.25">
      <c r="B38" s="2" t="s">
        <v>56</v>
      </c>
      <c r="C38" s="1" t="s">
        <v>57</v>
      </c>
      <c r="D38" s="1" t="s">
        <v>58</v>
      </c>
      <c r="E38" s="1">
        <v>7</v>
      </c>
      <c r="F38" s="1" t="s">
        <v>59</v>
      </c>
      <c r="G38" s="1">
        <f t="shared" si="1"/>
        <v>21</v>
      </c>
    </row>
    <row r="39" spans="2:7" x14ac:dyDescent="0.25">
      <c r="B39" s="2" t="s">
        <v>60</v>
      </c>
      <c r="C39" s="1" t="s">
        <v>61</v>
      </c>
      <c r="D39" s="1" t="s">
        <v>62</v>
      </c>
      <c r="E39" s="1">
        <v>5</v>
      </c>
      <c r="F39" s="1" t="s">
        <v>63</v>
      </c>
      <c r="G39" s="1">
        <f t="shared" si="1"/>
        <v>15</v>
      </c>
    </row>
    <row r="40" spans="2:7" x14ac:dyDescent="0.25">
      <c r="B40" s="2" t="s">
        <v>64</v>
      </c>
      <c r="C40" s="1" t="s">
        <v>65</v>
      </c>
      <c r="D40" s="1" t="s">
        <v>66</v>
      </c>
      <c r="E40" s="1">
        <v>7</v>
      </c>
      <c r="F40" s="1" t="s">
        <v>67</v>
      </c>
      <c r="G40" s="1">
        <f t="shared" si="1"/>
        <v>21</v>
      </c>
    </row>
    <row r="41" spans="2:7" x14ac:dyDescent="0.25">
      <c r="B41" s="2" t="s">
        <v>68</v>
      </c>
      <c r="C41" s="1" t="s">
        <v>69</v>
      </c>
      <c r="D41" s="1" t="s">
        <v>70</v>
      </c>
      <c r="E41" s="1">
        <v>1</v>
      </c>
      <c r="F41" s="1" t="s">
        <v>103</v>
      </c>
      <c r="G41" s="1">
        <f t="shared" si="1"/>
        <v>3</v>
      </c>
    </row>
    <row r="42" spans="2:7" x14ac:dyDescent="0.25">
      <c r="B42" s="2" t="s">
        <v>71</v>
      </c>
      <c r="C42" s="1" t="s">
        <v>72</v>
      </c>
      <c r="D42" s="1" t="s">
        <v>73</v>
      </c>
      <c r="E42" s="1">
        <v>1</v>
      </c>
      <c r="F42" s="1" t="s">
        <v>74</v>
      </c>
      <c r="G42" s="1">
        <f t="shared" si="1"/>
        <v>3</v>
      </c>
    </row>
    <row r="43" spans="2:7" x14ac:dyDescent="0.25">
      <c r="B43" s="2" t="s">
        <v>75</v>
      </c>
      <c r="C43" s="1" t="s">
        <v>76</v>
      </c>
      <c r="D43" s="1" t="s">
        <v>77</v>
      </c>
      <c r="E43" s="1">
        <v>1</v>
      </c>
      <c r="F43" s="1" t="s">
        <v>78</v>
      </c>
      <c r="G43" s="1">
        <f t="shared" si="1"/>
        <v>3</v>
      </c>
    </row>
    <row r="44" spans="2:7" x14ac:dyDescent="0.25">
      <c r="B44" s="2" t="s">
        <v>79</v>
      </c>
      <c r="C44" s="1" t="s">
        <v>80</v>
      </c>
      <c r="D44" s="1" t="s">
        <v>81</v>
      </c>
      <c r="E44" s="1">
        <v>2</v>
      </c>
      <c r="F44" s="1" t="s">
        <v>82</v>
      </c>
      <c r="G44" s="1">
        <f t="shared" si="1"/>
        <v>6</v>
      </c>
    </row>
    <row r="45" spans="2:7" x14ac:dyDescent="0.25">
      <c r="B45" s="2" t="s">
        <v>83</v>
      </c>
      <c r="C45" s="1" t="s">
        <v>84</v>
      </c>
      <c r="D45" s="1" t="s">
        <v>85</v>
      </c>
      <c r="E45" s="1">
        <v>7</v>
      </c>
      <c r="F45" s="1" t="s">
        <v>86</v>
      </c>
      <c r="G45" s="1">
        <f t="shared" si="1"/>
        <v>21</v>
      </c>
    </row>
    <row r="46" spans="2:7" x14ac:dyDescent="0.25">
      <c r="B46" s="2" t="s">
        <v>87</v>
      </c>
      <c r="C46" s="1" t="s">
        <v>88</v>
      </c>
      <c r="D46" s="1" t="s">
        <v>89</v>
      </c>
      <c r="E46" s="1">
        <v>2</v>
      </c>
      <c r="F46" s="1" t="s">
        <v>90</v>
      </c>
      <c r="G46" s="1">
        <f t="shared" si="1"/>
        <v>6</v>
      </c>
    </row>
    <row r="47" spans="2:7" x14ac:dyDescent="0.25">
      <c r="B47" s="2" t="s">
        <v>91</v>
      </c>
      <c r="C47" s="1" t="s">
        <v>92</v>
      </c>
      <c r="D47" s="1" t="s">
        <v>93</v>
      </c>
      <c r="E47" s="1">
        <v>1</v>
      </c>
      <c r="F47" s="1" t="s">
        <v>94</v>
      </c>
      <c r="G47" s="1">
        <f t="shared" si="1"/>
        <v>3</v>
      </c>
    </row>
    <row r="48" spans="2:7" x14ac:dyDescent="0.25">
      <c r="B48" s="2" t="s">
        <v>95</v>
      </c>
      <c r="C48" s="1" t="s">
        <v>96</v>
      </c>
      <c r="D48" s="1" t="s">
        <v>97</v>
      </c>
      <c r="E48" s="1">
        <v>1</v>
      </c>
      <c r="F48" s="1" t="s">
        <v>98</v>
      </c>
      <c r="G48" s="1">
        <f t="shared" si="1"/>
        <v>3</v>
      </c>
    </row>
    <row r="49" spans="2:7" x14ac:dyDescent="0.25">
      <c r="B49" s="2" t="s">
        <v>99</v>
      </c>
      <c r="C49" s="1" t="s">
        <v>100</v>
      </c>
      <c r="D49" s="1" t="s">
        <v>101</v>
      </c>
      <c r="E49" s="1">
        <v>1</v>
      </c>
      <c r="F49" s="3" t="s">
        <v>106</v>
      </c>
      <c r="G49" s="1">
        <f t="shared" si="1"/>
        <v>3</v>
      </c>
    </row>
  </sheetData>
  <conditionalFormatting sqref="F1:F21">
    <cfRule type="duplicateValues" dxfId="2" priority="6"/>
  </conditionalFormatting>
  <conditionalFormatting sqref="F24:F31 F33:F34 F36:F48">
    <cfRule type="duplicateValues" dxfId="0" priority="1"/>
  </conditionalFormatting>
  <hyperlinks>
    <hyperlink ref="F49" r:id="rId1" tooltip="C2861505" display="https://www.lcsc.com/product-detail/C2861505.html?s_z=n_q_LMR33630&amp;spm=wm.ssy.bg.7.cbh&amp;lcsc_vid=FgRZBQcDT1IKUABSR1QLVVIARVQIVlMFRlULXgACTlMxVlNRQFVfV1VSRlJcUjsOAxUeFF5JWBYZEEoKFBINSQcJGk4dAgUUFAk%3D" xr:uid="{98F38D36-83B4-4789-9D9E-4C40DA8F44E4}"/>
    <hyperlink ref="F32" r:id="rId2" tooltip="C25836747" display="https://www.lcsc.com/product-detail/C25836747.html?s_z=n_q_5W%252027V%2520zener&amp;spm=wm.ssy.bg.4.cbh&amp;lcsc_vid=FgRZBQcDT1IKUABSR1QLVVIARVQIVlMFRlULXgACTlMxVlNRQFVfV1JXQlBbVDsOAxUeFF5JWBYZEEoKFBINSQcJGk4dAgUUFAk%3D" xr:uid="{9EDF9920-D65D-419F-BE9B-4E7F036C60E2}"/>
    <hyperlink ref="F35" r:id="rId3" tooltip="C5456157" display="https://www.lcsc.com/product-detail/C5456157.html?s_z=s_c_TVS%2520Diodes&amp;spm=wm.fly.bg.2.cbh&amp;lcsc_vid=FgRZBQcDT1IKUABSR1QLVVIARVQIVlMFRlULXgACTlMxVlNRQFVfV1NRRFdbVjsOAxUeFF5JWBYZEEoKFBINSQcJGk4dAgUUFAk%3D" xr:uid="{A3A63C86-EEEB-4F92-85A2-5F3F2D75E5B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Minaya Fernando</dc:creator>
  <cp:lastModifiedBy>Minaya Fernando</cp:lastModifiedBy>
  <dcterms:created xsi:type="dcterms:W3CDTF">2026-04-28T20:17:49Z</dcterms:created>
  <dcterms:modified xsi:type="dcterms:W3CDTF">2026-04-28T22:16:01Z</dcterms:modified>
</cp:coreProperties>
</file>